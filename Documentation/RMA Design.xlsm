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amo03\Documents\"/>
    </mc:Choice>
  </mc:AlternateContent>
  <xr:revisionPtr revIDLastSave="0" documentId="13_ncr:1_{948AE623-EB9A-4480-8BFD-863E44D81397}" xr6:coauthVersionLast="47" xr6:coauthVersionMax="47" xr10:uidLastSave="{00000000-0000-0000-0000-000000000000}"/>
  <bookViews>
    <workbookView xWindow="-120" yWindow="-120" windowWidth="29040" windowHeight="15720" xr2:uid="{437B9BD2-4799-4245-9354-A3EF391EBCEE}"/>
  </bookViews>
  <sheets>
    <sheet name="Master" sheetId="1" r:id="rId1"/>
    <sheet name="Tasks" sheetId="2" r:id="rId2"/>
    <sheet name="Core" sheetId="3" r:id="rId3"/>
    <sheet name="Job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" i="2" l="1"/>
  <c r="J16" i="2"/>
  <c r="J17" i="2"/>
  <c r="F15" i="2"/>
  <c r="F16" i="2" s="1"/>
  <c r="F17" i="2" s="1"/>
  <c r="F8" i="2"/>
  <c r="F9" i="2" s="1"/>
  <c r="F10" i="2" s="1"/>
  <c r="F11" i="2" s="1"/>
  <c r="F12" i="2" s="1"/>
  <c r="F13" i="2" s="1"/>
  <c r="F14" i="2" s="1"/>
  <c r="F7" i="2"/>
  <c r="J7" i="2" s="1"/>
  <c r="F6" i="2"/>
  <c r="F5" i="2"/>
  <c r="F4" i="2"/>
  <c r="F3" i="2"/>
  <c r="J3" i="2"/>
  <c r="J4" i="2"/>
  <c r="O4" i="3"/>
  <c r="J14" i="2" l="1"/>
  <c r="J11" i="2"/>
  <c r="J13" i="2"/>
  <c r="J12" i="2"/>
  <c r="J10" i="2"/>
  <c r="J9" i="2"/>
  <c r="J5" i="2"/>
  <c r="J6" i="2"/>
  <c r="J8" i="2"/>
</calcChain>
</file>

<file path=xl/sharedStrings.xml><?xml version="1.0" encoding="utf-8"?>
<sst xmlns="http://schemas.openxmlformats.org/spreadsheetml/2006/main" count="119" uniqueCount="68">
  <si>
    <t>Dialog ID</t>
  </si>
  <si>
    <t>Dialogs</t>
  </si>
  <si>
    <t>Login</t>
  </si>
  <si>
    <t>WINDOW-LOGIN</t>
  </si>
  <si>
    <t>WINDOW-DASHBOARD</t>
  </si>
  <si>
    <t>WINDOW-CREDENTIAL-MGR</t>
  </si>
  <si>
    <t>WINDOW-NOTES-MGR</t>
  </si>
  <si>
    <t>WINDOW-SERVICE-TAGS</t>
  </si>
  <si>
    <t>WINDOW-IMPORT</t>
  </si>
  <si>
    <t>WINDOW-EXPORT</t>
  </si>
  <si>
    <t>WINDOW-SETTINGS</t>
  </si>
  <si>
    <t>Tasks</t>
  </si>
  <si>
    <t>S.No</t>
  </si>
  <si>
    <t>Module</t>
  </si>
  <si>
    <t>Status</t>
  </si>
  <si>
    <t>Done</t>
  </si>
  <si>
    <t>Cores</t>
  </si>
  <si>
    <t>Create New Vault</t>
  </si>
  <si>
    <t>Top Menu</t>
  </si>
  <si>
    <t>Sidebar</t>
  </si>
  <si>
    <t>Main Body</t>
  </si>
  <si>
    <t>StatusBar</t>
  </si>
  <si>
    <t>Core</t>
  </si>
  <si>
    <t>Anim</t>
  </si>
  <si>
    <t>Modules</t>
  </si>
  <si>
    <t>DB/BLL</t>
  </si>
  <si>
    <t>Security</t>
  </si>
  <si>
    <t>EH</t>
  </si>
  <si>
    <t>Sec</t>
  </si>
  <si>
    <t>Main function</t>
  </si>
  <si>
    <t>Business Logic</t>
  </si>
  <si>
    <t>Animation</t>
  </si>
  <si>
    <t>Error Handling and Logging</t>
  </si>
  <si>
    <t>Final</t>
  </si>
  <si>
    <t>UI/UX</t>
  </si>
  <si>
    <t>User Interface/Experience</t>
  </si>
  <si>
    <t>Add new Vault to the Data Base</t>
  </si>
  <si>
    <t>Vault names and Salt are Stored as plain Text. Need to change That</t>
  </si>
  <si>
    <t>To Do</t>
  </si>
  <si>
    <t>Vault Data Should contain a piece of hardware/Mac Address Code to Prevent Anti Tampering</t>
  </si>
  <si>
    <t>Tampering protection - If Found tampered option User can take action accordingly</t>
  </si>
  <si>
    <t>Input Limits</t>
  </si>
  <si>
    <t>Dynamic Password match</t>
  </si>
  <si>
    <t xml:space="preserve">Username not present </t>
  </si>
  <si>
    <t>Pin Is empty</t>
  </si>
  <si>
    <t>if One Pin is Empty and Other Pin is Filled - No Visual FeedBack.</t>
  </si>
  <si>
    <t>Basic Layout and Placeholders</t>
  </si>
  <si>
    <t>Go Back Option Not Available</t>
  </si>
  <si>
    <t>Job Code</t>
  </si>
  <si>
    <t>Sub Module</t>
  </si>
  <si>
    <t>Dialogue</t>
  </si>
  <si>
    <t>Directory Creation</t>
  </si>
  <si>
    <t>JobType</t>
  </si>
  <si>
    <t>Major</t>
  </si>
  <si>
    <t>Duplicate Vault</t>
  </si>
  <si>
    <t>Module Description</t>
  </si>
  <si>
    <t xml:space="preserve">Argon2id Memory </t>
  </si>
  <si>
    <t>100.1.2.1</t>
  </si>
  <si>
    <t>100.1.2.2</t>
  </si>
  <si>
    <t>100.1.3.7</t>
  </si>
  <si>
    <t>Issue</t>
  </si>
  <si>
    <t>Suggested Solutions</t>
  </si>
  <si>
    <t>Move to Job Sheet</t>
  </si>
  <si>
    <t>Encrypt Metadata; use random UUIDs for filenames.</t>
  </si>
  <si>
    <t>Details</t>
  </si>
  <si>
    <t>Password Change from 6 digits to 12 Alpha-Numeric.</t>
  </si>
  <si>
    <t>WINDOW-RECOVERY-EULA</t>
  </si>
  <si>
    <t>WINDOW-PASSWORD-RESET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</si>
</sst>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1" fillId="2" borderId="0" xfId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</cellXfs>
  <cellStyles count="2">
    <cellStyle name="Neutral" xfId="1" builtinId="2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20266</xdr:colOff>
          <xdr:row>2</xdr:row>
          <xdr:rowOff>9525</xdr:rowOff>
        </xdr:from>
        <xdr:to>
          <xdr:col>10</xdr:col>
          <xdr:colOff>437745</xdr:colOff>
          <xdr:row>2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20266</xdr:colOff>
          <xdr:row>3</xdr:row>
          <xdr:rowOff>9525</xdr:rowOff>
        </xdr:from>
        <xdr:ext cx="417479" cy="171450"/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5F07A84D-3657-45E6-9224-A9AAC0FC3F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20266</xdr:colOff>
          <xdr:row>4</xdr:row>
          <xdr:rowOff>9525</xdr:rowOff>
        </xdr:from>
        <xdr:ext cx="417479" cy="171450"/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73EB935D-D59E-43B4-9224-9FED764B1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20266</xdr:colOff>
          <xdr:row>5</xdr:row>
          <xdr:rowOff>9525</xdr:rowOff>
        </xdr:from>
        <xdr:ext cx="417479" cy="171450"/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6E55FEB4-768E-4297-8E3A-EBBE016F61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20266</xdr:colOff>
          <xdr:row>6</xdr:row>
          <xdr:rowOff>9525</xdr:rowOff>
        </xdr:from>
        <xdr:ext cx="417479" cy="171450"/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C810554A-161D-44B7-B202-84C829D4B0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20266</xdr:colOff>
          <xdr:row>7</xdr:row>
          <xdr:rowOff>9525</xdr:rowOff>
        </xdr:from>
        <xdr:ext cx="417479" cy="171450"/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A5F537DE-643A-4B7C-AEDB-DD14561AF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20266</xdr:colOff>
          <xdr:row>8</xdr:row>
          <xdr:rowOff>9525</xdr:rowOff>
        </xdr:from>
        <xdr:ext cx="417479" cy="171450"/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EC0DCB8D-FFC0-49B7-ACBC-FAA8F0384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20266</xdr:colOff>
          <xdr:row>9</xdr:row>
          <xdr:rowOff>9525</xdr:rowOff>
        </xdr:from>
        <xdr:ext cx="417479" cy="171450"/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5DE85581-FD27-4496-9831-6AFE4450C0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20266</xdr:colOff>
          <xdr:row>10</xdr:row>
          <xdr:rowOff>9525</xdr:rowOff>
        </xdr:from>
        <xdr:ext cx="417479" cy="171450"/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761FA937-4ADA-4AA8-ADE4-EB6D75A828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20266</xdr:colOff>
          <xdr:row>11</xdr:row>
          <xdr:rowOff>9525</xdr:rowOff>
        </xdr:from>
        <xdr:ext cx="417479" cy="171450"/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B9C5C01B-E556-4107-B2E5-310892AF07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20266</xdr:colOff>
          <xdr:row>12</xdr:row>
          <xdr:rowOff>9525</xdr:rowOff>
        </xdr:from>
        <xdr:ext cx="417479" cy="171450"/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2727B212-C435-4348-A859-13CF0EEA11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20266</xdr:colOff>
          <xdr:row>13</xdr:row>
          <xdr:rowOff>9525</xdr:rowOff>
        </xdr:from>
        <xdr:ext cx="417479" cy="171450"/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BAC48C09-282F-4EFE-B98F-4C6B7BF7B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20266</xdr:colOff>
          <xdr:row>14</xdr:row>
          <xdr:rowOff>9525</xdr:rowOff>
        </xdr:from>
        <xdr:ext cx="417479" cy="171450"/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57DC9B54-050D-46FB-B66B-DA83734C0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20266</xdr:colOff>
          <xdr:row>15</xdr:row>
          <xdr:rowOff>9525</xdr:rowOff>
        </xdr:from>
        <xdr:ext cx="417479" cy="171450"/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BBEFD073-32ED-447D-A161-A54CB466AE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20266</xdr:colOff>
          <xdr:row>16</xdr:row>
          <xdr:rowOff>9525</xdr:rowOff>
        </xdr:from>
        <xdr:ext cx="417479" cy="171450"/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D035EB82-2D92-4D27-8C28-2784D3A2FB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25897-7F1B-4679-B358-92603601B947}">
  <sheetPr codeName="Sheet1"/>
  <dimension ref="A1:M11"/>
  <sheetViews>
    <sheetView tabSelected="1" topLeftCell="B1" workbookViewId="0">
      <selection activeCell="B12" sqref="B12"/>
    </sheetView>
  </sheetViews>
  <sheetFormatPr defaultRowHeight="15" x14ac:dyDescent="0.25"/>
  <cols>
    <col min="1" max="1" width="9" bestFit="1" customWidth="1"/>
    <col min="2" max="2" width="25.7109375" bestFit="1" customWidth="1"/>
    <col min="8" max="8" width="16" bestFit="1" customWidth="1"/>
    <col min="12" max="12" width="13.7109375" bestFit="1" customWidth="1"/>
    <col min="13" max="13" width="25.140625" bestFit="1" customWidth="1"/>
  </cols>
  <sheetData>
    <row r="1" spans="1:13" x14ac:dyDescent="0.25">
      <c r="A1" t="s">
        <v>0</v>
      </c>
      <c r="B1" t="s">
        <v>1</v>
      </c>
      <c r="G1" t="s">
        <v>16</v>
      </c>
      <c r="K1" t="s">
        <v>24</v>
      </c>
    </row>
    <row r="2" spans="1:13" x14ac:dyDescent="0.25">
      <c r="A2">
        <v>100</v>
      </c>
      <c r="B2" t="s">
        <v>3</v>
      </c>
      <c r="G2">
        <v>100.1</v>
      </c>
      <c r="H2" t="s">
        <v>17</v>
      </c>
      <c r="K2">
        <v>0</v>
      </c>
      <c r="L2" t="s">
        <v>22</v>
      </c>
      <c r="M2" t="s">
        <v>29</v>
      </c>
    </row>
    <row r="3" spans="1:13" x14ac:dyDescent="0.25">
      <c r="A3">
        <v>200</v>
      </c>
      <c r="B3" t="s">
        <v>4</v>
      </c>
      <c r="G3">
        <v>100.2</v>
      </c>
      <c r="H3" t="s">
        <v>2</v>
      </c>
      <c r="K3">
        <v>1</v>
      </c>
      <c r="L3" t="s">
        <v>25</v>
      </c>
      <c r="M3" t="s">
        <v>30</v>
      </c>
    </row>
    <row r="4" spans="1:13" x14ac:dyDescent="0.25">
      <c r="A4">
        <v>300</v>
      </c>
      <c r="B4" t="s">
        <v>5</v>
      </c>
      <c r="K4">
        <v>3</v>
      </c>
      <c r="L4" t="s">
        <v>28</v>
      </c>
      <c r="M4" t="s">
        <v>26</v>
      </c>
    </row>
    <row r="5" spans="1:13" x14ac:dyDescent="0.25">
      <c r="A5">
        <v>400</v>
      </c>
      <c r="B5" t="s">
        <v>6</v>
      </c>
      <c r="G5">
        <v>200.1</v>
      </c>
      <c r="H5" t="s">
        <v>18</v>
      </c>
      <c r="K5">
        <v>4</v>
      </c>
      <c r="L5" t="s">
        <v>34</v>
      </c>
      <c r="M5" t="s">
        <v>35</v>
      </c>
    </row>
    <row r="6" spans="1:13" x14ac:dyDescent="0.25">
      <c r="A6">
        <v>500</v>
      </c>
      <c r="B6" t="s">
        <v>7</v>
      </c>
      <c r="G6">
        <v>200.2</v>
      </c>
      <c r="H6" t="s">
        <v>19</v>
      </c>
      <c r="K6">
        <v>5</v>
      </c>
      <c r="L6" t="s">
        <v>27</v>
      </c>
      <c r="M6" t="s">
        <v>32</v>
      </c>
    </row>
    <row r="7" spans="1:13" x14ac:dyDescent="0.25">
      <c r="A7">
        <v>600</v>
      </c>
      <c r="B7" t="s">
        <v>8</v>
      </c>
      <c r="G7">
        <v>200.3</v>
      </c>
      <c r="H7" t="s">
        <v>20</v>
      </c>
      <c r="K7">
        <v>6</v>
      </c>
      <c r="L7" t="s">
        <v>23</v>
      </c>
      <c r="M7" t="s">
        <v>31</v>
      </c>
    </row>
    <row r="8" spans="1:13" x14ac:dyDescent="0.25">
      <c r="A8">
        <v>700</v>
      </c>
      <c r="B8" t="s">
        <v>9</v>
      </c>
      <c r="G8">
        <v>200.4</v>
      </c>
      <c r="H8" t="s">
        <v>21</v>
      </c>
    </row>
    <row r="9" spans="1:13" x14ac:dyDescent="0.25">
      <c r="A9">
        <v>800</v>
      </c>
      <c r="B9" t="s">
        <v>10</v>
      </c>
    </row>
    <row r="10" spans="1:13" x14ac:dyDescent="0.25">
      <c r="B10" t="s">
        <v>66</v>
      </c>
    </row>
    <row r="11" spans="1:13" x14ac:dyDescent="0.25">
      <c r="B11" t="s">
        <v>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86C1C-72C0-4284-B49F-2F683903B2E2}">
  <sheetPr codeName="Sheet2"/>
  <dimension ref="B1:N17"/>
  <sheetViews>
    <sheetView zoomScale="115" zoomScaleNormal="115" workbookViewId="0">
      <selection activeCell="K20" sqref="K20"/>
    </sheetView>
  </sheetViews>
  <sheetFormatPr defaultRowHeight="15" x14ac:dyDescent="0.25"/>
  <cols>
    <col min="2" max="2" width="19.140625" bestFit="1" customWidth="1"/>
    <col min="4" max="4" width="11.28515625" bestFit="1" customWidth="1"/>
    <col min="5" max="5" width="18.42578125" bestFit="1" customWidth="1"/>
    <col min="6" max="6" width="15.5703125" bestFit="1" customWidth="1"/>
    <col min="7" max="7" width="83.7109375" bestFit="1" customWidth="1"/>
    <col min="11" max="11" width="16.42578125" bestFit="1" customWidth="1"/>
  </cols>
  <sheetData>
    <row r="1" spans="2:14" x14ac:dyDescent="0.25">
      <c r="C1" s="4" t="s">
        <v>13</v>
      </c>
      <c r="D1" s="1"/>
      <c r="E1" s="1"/>
      <c r="F1" s="4" t="s">
        <v>12</v>
      </c>
      <c r="G1" s="3" t="s">
        <v>11</v>
      </c>
      <c r="H1" s="4" t="s">
        <v>14</v>
      </c>
      <c r="I1" s="1"/>
    </row>
    <row r="2" spans="2:14" x14ac:dyDescent="0.25">
      <c r="B2" t="s">
        <v>50</v>
      </c>
      <c r="C2" s="4"/>
      <c r="D2" s="1" t="s">
        <v>49</v>
      </c>
      <c r="E2" s="1" t="s">
        <v>55</v>
      </c>
      <c r="F2" s="4"/>
      <c r="G2" s="3"/>
      <c r="H2" s="4"/>
      <c r="I2" s="1" t="s">
        <v>52</v>
      </c>
      <c r="J2" t="s">
        <v>48</v>
      </c>
      <c r="K2" t="s">
        <v>62</v>
      </c>
    </row>
    <row r="3" spans="2:14" ht="15" customHeight="1" x14ac:dyDescent="0.25">
      <c r="B3" s="2">
        <v>100</v>
      </c>
      <c r="C3">
        <v>1</v>
      </c>
      <c r="D3">
        <v>0</v>
      </c>
      <c r="E3" t="s">
        <v>22</v>
      </c>
      <c r="F3">
        <f>IF(D3=D2, F2+1, 1)</f>
        <v>1</v>
      </c>
      <c r="G3" t="s">
        <v>17</v>
      </c>
      <c r="H3" t="s">
        <v>15</v>
      </c>
      <c r="J3" t="str">
        <f>B3 &amp; "." &amp; C3 &amp; "." &amp; D3 &amp; "." &amp; F3</f>
        <v>100.1.0.1</v>
      </c>
    </row>
    <row r="4" spans="2:14" x14ac:dyDescent="0.25">
      <c r="B4" s="2">
        <v>100</v>
      </c>
      <c r="C4">
        <v>1</v>
      </c>
      <c r="D4">
        <v>1</v>
      </c>
      <c r="E4" t="s">
        <v>25</v>
      </c>
      <c r="F4">
        <f t="shared" ref="F4:F17" si="0">IF(D4=D3, F3+1, 1)</f>
        <v>1</v>
      </c>
      <c r="G4" t="s">
        <v>36</v>
      </c>
      <c r="H4" t="s">
        <v>15</v>
      </c>
      <c r="J4" t="str">
        <f>B4 &amp; "." &amp; C4 &amp; "." &amp; D4 &amp; "." &amp; F4</f>
        <v>100.1.1.1</v>
      </c>
    </row>
    <row r="5" spans="2:14" x14ac:dyDescent="0.25">
      <c r="B5" s="2">
        <v>100</v>
      </c>
      <c r="C5">
        <v>1</v>
      </c>
      <c r="D5">
        <v>2</v>
      </c>
      <c r="E5" t="s">
        <v>28</v>
      </c>
      <c r="F5">
        <f t="shared" si="0"/>
        <v>1</v>
      </c>
      <c r="G5" t="s">
        <v>37</v>
      </c>
      <c r="H5" t="s">
        <v>38</v>
      </c>
      <c r="J5" t="str">
        <f>B5 &amp; "." &amp; C5 &amp; "." &amp; D5 &amp; "." &amp; F5</f>
        <v>100.1.2.1</v>
      </c>
    </row>
    <row r="6" spans="2:14" x14ac:dyDescent="0.25">
      <c r="B6" s="2">
        <v>100</v>
      </c>
      <c r="C6">
        <v>1</v>
      </c>
      <c r="D6">
        <v>2</v>
      </c>
      <c r="E6" t="s">
        <v>28</v>
      </c>
      <c r="F6">
        <f t="shared" si="0"/>
        <v>2</v>
      </c>
      <c r="G6" t="s">
        <v>39</v>
      </c>
      <c r="H6" t="s">
        <v>38</v>
      </c>
      <c r="J6" t="str">
        <f>B6 &amp; "." &amp; C6 &amp; "." &amp; D6 &amp; "." &amp; F6</f>
        <v>100.1.2.2</v>
      </c>
    </row>
    <row r="7" spans="2:14" x14ac:dyDescent="0.25">
      <c r="B7" s="2">
        <v>100</v>
      </c>
      <c r="C7">
        <v>1</v>
      </c>
      <c r="D7">
        <v>2</v>
      </c>
      <c r="E7" t="s">
        <v>28</v>
      </c>
      <c r="F7">
        <f t="shared" si="0"/>
        <v>3</v>
      </c>
      <c r="G7" t="s">
        <v>40</v>
      </c>
      <c r="H7" t="s">
        <v>38</v>
      </c>
      <c r="J7" t="str">
        <f>B7 &amp; "." &amp; C7 &amp; "." &amp; D7 &amp; "." &amp; F7</f>
        <v>100.1.2.3</v>
      </c>
    </row>
    <row r="8" spans="2:14" x14ac:dyDescent="0.25">
      <c r="B8" s="2">
        <v>100</v>
      </c>
      <c r="C8">
        <v>1</v>
      </c>
      <c r="D8">
        <v>3</v>
      </c>
      <c r="E8" t="s">
        <v>34</v>
      </c>
      <c r="F8">
        <f t="shared" si="0"/>
        <v>1</v>
      </c>
      <c r="G8" t="s">
        <v>46</v>
      </c>
      <c r="H8" t="s">
        <v>15</v>
      </c>
      <c r="J8" t="str">
        <f>B8 &amp; "." &amp; C8 &amp; "." &amp; D8 &amp; "." &amp; F8</f>
        <v>100.1.3.1</v>
      </c>
    </row>
    <row r="9" spans="2:14" x14ac:dyDescent="0.25">
      <c r="B9" s="2">
        <v>100</v>
      </c>
      <c r="C9">
        <v>1</v>
      </c>
      <c r="D9">
        <v>3</v>
      </c>
      <c r="E9" t="s">
        <v>34</v>
      </c>
      <c r="F9">
        <f t="shared" si="0"/>
        <v>2</v>
      </c>
      <c r="G9" t="s">
        <v>41</v>
      </c>
      <c r="H9" t="s">
        <v>38</v>
      </c>
      <c r="J9" t="str">
        <f>B9 &amp; "." &amp; C9 &amp; "." &amp; D9 &amp; "." &amp; F9</f>
        <v>100.1.3.2</v>
      </c>
    </row>
    <row r="10" spans="2:14" x14ac:dyDescent="0.25">
      <c r="B10" s="2">
        <v>100</v>
      </c>
      <c r="C10">
        <v>1</v>
      </c>
      <c r="D10">
        <v>3</v>
      </c>
      <c r="E10" t="s">
        <v>34</v>
      </c>
      <c r="F10">
        <f t="shared" si="0"/>
        <v>3</v>
      </c>
      <c r="G10" t="s">
        <v>42</v>
      </c>
      <c r="H10" t="s">
        <v>38</v>
      </c>
      <c r="J10" t="str">
        <f>B10 &amp; "." &amp; C10 &amp; "." &amp; D10 &amp; "." &amp; F10</f>
        <v>100.1.3.3</v>
      </c>
      <c r="M10">
        <v>0</v>
      </c>
      <c r="N10" t="s">
        <v>22</v>
      </c>
    </row>
    <row r="11" spans="2:14" x14ac:dyDescent="0.25">
      <c r="B11" s="2">
        <v>100</v>
      </c>
      <c r="C11">
        <v>1</v>
      </c>
      <c r="D11">
        <v>3</v>
      </c>
      <c r="E11" t="s">
        <v>34</v>
      </c>
      <c r="F11">
        <f t="shared" si="0"/>
        <v>4</v>
      </c>
      <c r="G11" t="s">
        <v>43</v>
      </c>
      <c r="H11" t="s">
        <v>38</v>
      </c>
      <c r="J11" t="str">
        <f>B11 &amp; "." &amp; C11 &amp; "." &amp; D11 &amp; "." &amp; F11</f>
        <v>100.1.3.4</v>
      </c>
      <c r="M11">
        <v>1</v>
      </c>
      <c r="N11" t="s">
        <v>25</v>
      </c>
    </row>
    <row r="12" spans="2:14" x14ac:dyDescent="0.25">
      <c r="B12" s="2">
        <v>100</v>
      </c>
      <c r="C12">
        <v>1</v>
      </c>
      <c r="D12">
        <v>3</v>
      </c>
      <c r="E12" t="s">
        <v>34</v>
      </c>
      <c r="F12">
        <f t="shared" si="0"/>
        <v>5</v>
      </c>
      <c r="G12" t="s">
        <v>44</v>
      </c>
      <c r="H12" t="s">
        <v>38</v>
      </c>
      <c r="J12" t="str">
        <f>B12 &amp; "." &amp; C12 &amp; "." &amp; D12 &amp; "." &amp; F12</f>
        <v>100.1.3.5</v>
      </c>
      <c r="M12">
        <v>2</v>
      </c>
      <c r="N12" t="s">
        <v>28</v>
      </c>
    </row>
    <row r="13" spans="2:14" x14ac:dyDescent="0.25">
      <c r="B13" s="2">
        <v>100</v>
      </c>
      <c r="C13">
        <v>1</v>
      </c>
      <c r="D13">
        <v>3</v>
      </c>
      <c r="E13" t="s">
        <v>34</v>
      </c>
      <c r="F13">
        <f t="shared" si="0"/>
        <v>6</v>
      </c>
      <c r="G13" t="s">
        <v>45</v>
      </c>
      <c r="H13" t="s">
        <v>38</v>
      </c>
      <c r="J13" t="str">
        <f>B13 &amp; "." &amp; C13 &amp; "." &amp; D13 &amp; "." &amp; F13</f>
        <v>100.1.3.6</v>
      </c>
      <c r="M13">
        <v>3</v>
      </c>
      <c r="N13" t="s">
        <v>34</v>
      </c>
    </row>
    <row r="14" spans="2:14" x14ac:dyDescent="0.25">
      <c r="B14" s="2">
        <v>100</v>
      </c>
      <c r="C14">
        <v>1</v>
      </c>
      <c r="D14">
        <v>3</v>
      </c>
      <c r="E14" t="s">
        <v>34</v>
      </c>
      <c r="F14">
        <f t="shared" si="0"/>
        <v>7</v>
      </c>
      <c r="G14" t="s">
        <v>47</v>
      </c>
      <c r="H14" t="s">
        <v>38</v>
      </c>
      <c r="I14" t="s">
        <v>53</v>
      </c>
      <c r="J14" t="str">
        <f>B14 &amp; "." &amp; C14 &amp; "." &amp; D14 &amp; "." &amp; F14</f>
        <v>100.1.3.7</v>
      </c>
      <c r="M14">
        <v>4</v>
      </c>
      <c r="N14" t="s">
        <v>27</v>
      </c>
    </row>
    <row r="15" spans="2:14" x14ac:dyDescent="0.25">
      <c r="B15" s="2">
        <v>100</v>
      </c>
      <c r="C15">
        <v>1</v>
      </c>
      <c r="D15">
        <v>4</v>
      </c>
      <c r="E15" t="s">
        <v>27</v>
      </c>
      <c r="F15">
        <f t="shared" si="0"/>
        <v>1</v>
      </c>
      <c r="G15" t="s">
        <v>51</v>
      </c>
      <c r="H15" t="s">
        <v>15</v>
      </c>
      <c r="J15" t="str">
        <f>B15 &amp; "." &amp; C15 &amp; "." &amp; D15 &amp; "." &amp; F15</f>
        <v>100.1.4.1</v>
      </c>
      <c r="M15">
        <v>5</v>
      </c>
      <c r="N15" t="s">
        <v>23</v>
      </c>
    </row>
    <row r="16" spans="2:14" x14ac:dyDescent="0.25">
      <c r="B16" s="2">
        <v>100</v>
      </c>
      <c r="C16">
        <v>1</v>
      </c>
      <c r="D16">
        <v>4</v>
      </c>
      <c r="F16">
        <f t="shared" si="0"/>
        <v>2</v>
      </c>
      <c r="G16" t="s">
        <v>54</v>
      </c>
      <c r="H16" t="s">
        <v>38</v>
      </c>
      <c r="J16" t="str">
        <f>B16 &amp; "." &amp; C16 &amp; "." &amp; D16 &amp; "." &amp; F16</f>
        <v>100.1.4.2</v>
      </c>
    </row>
    <row r="17" spans="2:10" x14ac:dyDescent="0.25">
      <c r="B17" s="2">
        <v>100</v>
      </c>
      <c r="C17">
        <v>1</v>
      </c>
      <c r="D17">
        <v>4</v>
      </c>
      <c r="F17">
        <f t="shared" si="0"/>
        <v>3</v>
      </c>
      <c r="G17" t="s">
        <v>56</v>
      </c>
      <c r="H17" t="s">
        <v>38</v>
      </c>
      <c r="J17" s="5" t="str">
        <f>B17 &amp; "." &amp; C17 &amp; "." &amp; D17 &amp; "." &amp; F17</f>
        <v>100.1.4.3</v>
      </c>
    </row>
  </sheetData>
  <mergeCells count="4">
    <mergeCell ref="G1:G2"/>
    <mergeCell ref="C1:C2"/>
    <mergeCell ref="F1:F2"/>
    <mergeCell ref="H1:H2"/>
  </mergeCells>
  <conditionalFormatting sqref="H1:H1048576">
    <cfRule type="containsText" dxfId="1" priority="1" operator="containsText" text="done">
      <formula>NOT(ISERROR(SEARCH("done",H1)))</formula>
    </cfRule>
    <cfRule type="containsText" dxfId="0" priority="2" operator="containsText" text="to">
      <formula>NOT(ISERROR(SEARCH("to",H1)))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MoveSpecificJob">
                <anchor moveWithCells="1">
                  <from>
                    <xdr:col>10</xdr:col>
                    <xdr:colOff>19050</xdr:colOff>
                    <xdr:row>2</xdr:row>
                    <xdr:rowOff>9525</xdr:rowOff>
                  </from>
                  <to>
                    <xdr:col>10</xdr:col>
                    <xdr:colOff>438150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MoveSpecificJob">
                <anchor moveWithCells="1">
                  <from>
                    <xdr:col>10</xdr:col>
                    <xdr:colOff>19050</xdr:colOff>
                    <xdr:row>3</xdr:row>
                    <xdr:rowOff>9525</xdr:rowOff>
                  </from>
                  <to>
                    <xdr:col>10</xdr:col>
                    <xdr:colOff>438150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MoveSpecificJob">
                <anchor moveWithCells="1">
                  <from>
                    <xdr:col>10</xdr:col>
                    <xdr:colOff>19050</xdr:colOff>
                    <xdr:row>4</xdr:row>
                    <xdr:rowOff>9525</xdr:rowOff>
                  </from>
                  <to>
                    <xdr:col>10</xdr:col>
                    <xdr:colOff>438150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MoveSpecificJob">
                <anchor moveWithCells="1">
                  <from>
                    <xdr:col>10</xdr:col>
                    <xdr:colOff>19050</xdr:colOff>
                    <xdr:row>5</xdr:row>
                    <xdr:rowOff>9525</xdr:rowOff>
                  </from>
                  <to>
                    <xdr:col>10</xdr:col>
                    <xdr:colOff>438150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print="0" autoFill="0" autoPict="0" macro="[0]!MoveSpecificJob">
                <anchor moveWithCells="1">
                  <from>
                    <xdr:col>10</xdr:col>
                    <xdr:colOff>19050</xdr:colOff>
                    <xdr:row>6</xdr:row>
                    <xdr:rowOff>9525</xdr:rowOff>
                  </from>
                  <to>
                    <xdr:col>10</xdr:col>
                    <xdr:colOff>438150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MoveSpecificJob">
                <anchor moveWithCells="1">
                  <from>
                    <xdr:col>10</xdr:col>
                    <xdr:colOff>19050</xdr:colOff>
                    <xdr:row>7</xdr:row>
                    <xdr:rowOff>9525</xdr:rowOff>
                  </from>
                  <to>
                    <xdr:col>10</xdr:col>
                    <xdr:colOff>438150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MoveSpecificJob">
                <anchor moveWithCells="1">
                  <from>
                    <xdr:col>10</xdr:col>
                    <xdr:colOff>19050</xdr:colOff>
                    <xdr:row>8</xdr:row>
                    <xdr:rowOff>9525</xdr:rowOff>
                  </from>
                  <to>
                    <xdr:col>10</xdr:col>
                    <xdr:colOff>438150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print="0" autoFill="0" autoPict="0" macro="[0]!MoveSpecificJob">
                <anchor moveWithCells="1">
                  <from>
                    <xdr:col>10</xdr:col>
                    <xdr:colOff>19050</xdr:colOff>
                    <xdr:row>9</xdr:row>
                    <xdr:rowOff>9525</xdr:rowOff>
                  </from>
                  <to>
                    <xdr:col>10</xdr:col>
                    <xdr:colOff>438150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Button 12">
              <controlPr defaultSize="0" print="0" autoFill="0" autoPict="0" macro="[0]!MoveSpecificJob">
                <anchor moveWithCells="1">
                  <from>
                    <xdr:col>10</xdr:col>
                    <xdr:colOff>19050</xdr:colOff>
                    <xdr:row>10</xdr:row>
                    <xdr:rowOff>9525</xdr:rowOff>
                  </from>
                  <to>
                    <xdr:col>10</xdr:col>
                    <xdr:colOff>438150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Button 13">
              <controlPr defaultSize="0" print="0" autoFill="0" autoPict="0" macro="[0]!MoveSpecificJob">
                <anchor moveWithCells="1">
                  <from>
                    <xdr:col>10</xdr:col>
                    <xdr:colOff>19050</xdr:colOff>
                    <xdr:row>11</xdr:row>
                    <xdr:rowOff>9525</xdr:rowOff>
                  </from>
                  <to>
                    <xdr:col>10</xdr:col>
                    <xdr:colOff>438150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Button 14">
              <controlPr defaultSize="0" print="0" autoFill="0" autoPict="0" macro="[0]!MoveSpecificJob">
                <anchor moveWithCells="1">
                  <from>
                    <xdr:col>10</xdr:col>
                    <xdr:colOff>19050</xdr:colOff>
                    <xdr:row>12</xdr:row>
                    <xdr:rowOff>9525</xdr:rowOff>
                  </from>
                  <to>
                    <xdr:col>10</xdr:col>
                    <xdr:colOff>438150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4" name="Button 15">
              <controlPr defaultSize="0" print="0" autoFill="0" autoPict="0" macro="[0]!MoveSpecificJob">
                <anchor moveWithCells="1">
                  <from>
                    <xdr:col>10</xdr:col>
                    <xdr:colOff>19050</xdr:colOff>
                    <xdr:row>13</xdr:row>
                    <xdr:rowOff>9525</xdr:rowOff>
                  </from>
                  <to>
                    <xdr:col>10</xdr:col>
                    <xdr:colOff>438150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5" name="Button 16">
              <controlPr defaultSize="0" print="0" autoFill="0" autoPict="0" macro="[0]!MoveSpecificJob">
                <anchor moveWithCells="1">
                  <from>
                    <xdr:col>10</xdr:col>
                    <xdr:colOff>19050</xdr:colOff>
                    <xdr:row>14</xdr:row>
                    <xdr:rowOff>9525</xdr:rowOff>
                  </from>
                  <to>
                    <xdr:col>10</xdr:col>
                    <xdr:colOff>438150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6" name="Button 17">
              <controlPr defaultSize="0" print="0" autoFill="0" autoPict="0" macro="[0]!MoveSpecificJob">
                <anchor moveWithCells="1">
                  <from>
                    <xdr:col>10</xdr:col>
                    <xdr:colOff>19050</xdr:colOff>
                    <xdr:row>15</xdr:row>
                    <xdr:rowOff>9525</xdr:rowOff>
                  </from>
                  <to>
                    <xdr:col>10</xdr:col>
                    <xdr:colOff>438150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7" name="Button 18">
              <controlPr defaultSize="0" print="0" autoFill="0" autoPict="0" macro="[0]!MoveSpecificJob">
                <anchor moveWithCells="1">
                  <from>
                    <xdr:col>10</xdr:col>
                    <xdr:colOff>19050</xdr:colOff>
                    <xdr:row>16</xdr:row>
                    <xdr:rowOff>9525</xdr:rowOff>
                  </from>
                  <to>
                    <xdr:col>10</xdr:col>
                    <xdr:colOff>438150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92F34-0D1D-4495-B0B7-ACE0AFD716BD}">
  <sheetPr codeName="Sheet3"/>
  <dimension ref="F2:O10"/>
  <sheetViews>
    <sheetView workbookViewId="0">
      <selection activeCell="F5" sqref="F5"/>
    </sheetView>
  </sheetViews>
  <sheetFormatPr defaultRowHeight="15" x14ac:dyDescent="0.25"/>
  <cols>
    <col min="7" max="7" width="16" bestFit="1" customWidth="1"/>
  </cols>
  <sheetData>
    <row r="2" spans="6:15" x14ac:dyDescent="0.25">
      <c r="H2" s="4" t="s">
        <v>14</v>
      </c>
      <c r="I2" s="4"/>
      <c r="J2" s="4"/>
      <c r="K2" s="4"/>
    </row>
    <row r="3" spans="6:15" x14ac:dyDescent="0.25">
      <c r="H3" t="s">
        <v>22</v>
      </c>
      <c r="I3" t="s">
        <v>25</v>
      </c>
      <c r="J3" t="s">
        <v>28</v>
      </c>
      <c r="K3" t="s">
        <v>34</v>
      </c>
      <c r="L3" t="s">
        <v>27</v>
      </c>
      <c r="M3" t="s">
        <v>23</v>
      </c>
      <c r="O3" t="s">
        <v>33</v>
      </c>
    </row>
    <row r="4" spans="6:15" x14ac:dyDescent="0.25">
      <c r="F4">
        <v>100.1</v>
      </c>
      <c r="G4" t="s">
        <v>17</v>
      </c>
      <c r="H4">
        <v>1</v>
      </c>
      <c r="I4">
        <v>1</v>
      </c>
      <c r="J4">
        <v>0.5</v>
      </c>
      <c r="K4">
        <v>1</v>
      </c>
      <c r="L4">
        <v>0</v>
      </c>
      <c r="M4">
        <v>0</v>
      </c>
      <c r="O4">
        <f xml:space="preserve"> (H4*0.3) + (J4*0.2) + (K4*0.2) + (I4*0.15) + (M4*0.1) + (L4*0.05)</f>
        <v>0.75000000000000011</v>
      </c>
    </row>
    <row r="5" spans="6:15" x14ac:dyDescent="0.25">
      <c r="F5">
        <v>100.2</v>
      </c>
      <c r="G5" t="s">
        <v>2</v>
      </c>
      <c r="H5">
        <v>1</v>
      </c>
    </row>
    <row r="7" spans="6:15" x14ac:dyDescent="0.25">
      <c r="F7">
        <v>200.1</v>
      </c>
      <c r="G7" t="s">
        <v>18</v>
      </c>
    </row>
    <row r="8" spans="6:15" x14ac:dyDescent="0.25">
      <c r="F8">
        <v>200.2</v>
      </c>
      <c r="G8" t="s">
        <v>19</v>
      </c>
    </row>
    <row r="9" spans="6:15" x14ac:dyDescent="0.25">
      <c r="F9">
        <v>200.3</v>
      </c>
      <c r="G9" t="s">
        <v>20</v>
      </c>
    </row>
    <row r="10" spans="6:15" x14ac:dyDescent="0.25">
      <c r="F10">
        <v>200.4</v>
      </c>
      <c r="G10" t="s">
        <v>21</v>
      </c>
    </row>
  </sheetData>
  <mergeCells count="1">
    <mergeCell ref="H2:K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AD25F-1E06-444F-BBAB-03AF18160A62}">
  <sheetPr codeName="Sheet4"/>
  <dimension ref="A1:D6"/>
  <sheetViews>
    <sheetView workbookViewId="0">
      <selection activeCell="C6" sqref="C6"/>
    </sheetView>
  </sheetViews>
  <sheetFormatPr defaultRowHeight="15" x14ac:dyDescent="0.25"/>
  <cols>
    <col min="1" max="1" width="19.7109375" customWidth="1"/>
    <col min="2" max="2" width="83.7109375" bestFit="1" customWidth="1"/>
    <col min="3" max="3" width="60.28515625" bestFit="1" customWidth="1"/>
  </cols>
  <sheetData>
    <row r="1" spans="1:4" x14ac:dyDescent="0.25">
      <c r="A1" t="s">
        <v>48</v>
      </c>
      <c r="B1" t="s">
        <v>60</v>
      </c>
      <c r="C1" t="s">
        <v>61</v>
      </c>
      <c r="D1" t="s">
        <v>64</v>
      </c>
    </row>
    <row r="2" spans="1:4" x14ac:dyDescent="0.25">
      <c r="A2" t="s">
        <v>53</v>
      </c>
      <c r="B2" t="s">
        <v>65</v>
      </c>
    </row>
    <row r="4" spans="1:4" x14ac:dyDescent="0.25">
      <c r="A4" t="s">
        <v>57</v>
      </c>
      <c r="B4" t="s">
        <v>37</v>
      </c>
      <c r="C4" t="s">
        <v>63</v>
      </c>
    </row>
    <row r="5" spans="1:4" x14ac:dyDescent="0.25">
      <c r="A5" t="s">
        <v>58</v>
      </c>
      <c r="B5" t="s">
        <v>39</v>
      </c>
      <c r="C5" s="6"/>
    </row>
    <row r="6" spans="1:4" x14ac:dyDescent="0.25">
      <c r="A6" t="s">
        <v>59</v>
      </c>
      <c r="B6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</vt:lpstr>
      <vt:lpstr>Tasks</vt:lpstr>
      <vt:lpstr>Core</vt:lpstr>
      <vt:lpstr>Jobs</vt:lpstr>
    </vt:vector>
  </TitlesOfParts>
  <Company>SMS group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Rafey, Mohd (SMS India Pvt. Ltd.)</dc:creator>
  <cp:lastModifiedBy>Rafey, Mohd (SMS India Pvt. Ltd.)</cp:lastModifiedBy>
  <dcterms:created xsi:type="dcterms:W3CDTF">2026-04-16T04:26:21Z</dcterms:created>
  <dcterms:modified xsi:type="dcterms:W3CDTF">2026-04-16T10:55:57Z</dcterms:modified>
</cp:coreProperties>
</file>